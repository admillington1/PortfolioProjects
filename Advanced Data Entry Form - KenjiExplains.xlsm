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c8eef966b27143c/Desktop/Data Science/Portfolio Projects/"/>
    </mc:Choice>
  </mc:AlternateContent>
  <xr:revisionPtr revIDLastSave="5" documentId="8_{6C19215C-BD88-41D2-B863-B131076CF34F}" xr6:coauthVersionLast="47" xr6:coauthVersionMax="47" xr10:uidLastSave="{B2AFF9EF-28D6-4DEC-8E6E-930BFBF15FAF}"/>
  <bookViews>
    <workbookView minimized="1" xWindow="1035" yWindow="1170" windowWidth="22005" windowHeight="13350" activeTab="1" xr2:uid="{BF3CC5C2-A3A5-4342-AC90-8EE389FBB45B}"/>
  </bookViews>
  <sheets>
    <sheet name="Cover Page" sheetId="5" r:id="rId1"/>
    <sheet name="Form" sheetId="1" r:id="rId2"/>
    <sheet name="Dashboard" sheetId="2" r:id="rId3"/>
    <sheet name="Data" sheetId="3" r:id="rId4"/>
    <sheet name="Email Automation Code" sheetId="4" r:id="rId5"/>
  </sheets>
  <definedNames>
    <definedName name="_xleta.NOT" hidden="1" xlm="1">#NAME?</definedName>
    <definedName name="_xleta.TEXT" hidden="1" xlm="1">#NAME?</definedName>
    <definedName name="age">#REF!</definedName>
    <definedName name="count">#REF!</definedName>
    <definedName name="wor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2" l="1"/>
  <c r="D27" i="1"/>
  <c r="D26" i="1"/>
  <c r="D25" i="1"/>
  <c r="D24" i="1"/>
  <c r="D23" i="1"/>
  <c r="D22" i="1"/>
  <c r="D21" i="1"/>
  <c r="D20" i="1"/>
  <c r="C27" i="1"/>
  <c r="C26" i="1"/>
  <c r="C25" i="1"/>
  <c r="C24" i="1"/>
  <c r="C23" i="1"/>
  <c r="C22" i="1"/>
  <c r="C21" i="1"/>
  <c r="C20" i="1"/>
  <c r="D5" i="2"/>
  <c r="B5" i="2"/>
  <c r="G13" i="1"/>
  <c r="G5" i="2"/>
  <c r="E5" i="2"/>
</calcChain>
</file>

<file path=xl/sharedStrings.xml><?xml version="1.0" encoding="utf-8"?>
<sst xmlns="http://schemas.openxmlformats.org/spreadsheetml/2006/main" count="92" uniqueCount="63">
  <si>
    <t>First Name</t>
  </si>
  <si>
    <t>Last Name</t>
  </si>
  <si>
    <t>DOB</t>
  </si>
  <si>
    <t>Email</t>
  </si>
  <si>
    <t>Department</t>
  </si>
  <si>
    <t>Role</t>
  </si>
  <si>
    <t>Gender</t>
  </si>
  <si>
    <t>Mike</t>
  </si>
  <si>
    <t>Lee</t>
  </si>
  <si>
    <t>mike.lee@gmail.com</t>
  </si>
  <si>
    <t>Sales</t>
  </si>
  <si>
    <t>Finance</t>
  </si>
  <si>
    <t>Marketing</t>
  </si>
  <si>
    <t>Executive</t>
  </si>
  <si>
    <t>CEO</t>
  </si>
  <si>
    <t>CMO</t>
  </si>
  <si>
    <t>CFO</t>
  </si>
  <si>
    <t>CTO</t>
  </si>
  <si>
    <t>COO</t>
  </si>
  <si>
    <t>Director</t>
  </si>
  <si>
    <t>VP</t>
  </si>
  <si>
    <t>Manager</t>
  </si>
  <si>
    <t>Specialist</t>
  </si>
  <si>
    <t>Intern</t>
  </si>
  <si>
    <t>Associate</t>
  </si>
  <si>
    <t>Analyst</t>
  </si>
  <si>
    <t>Partner</t>
  </si>
  <si>
    <t>First Name:</t>
  </si>
  <si>
    <t>Last Name:</t>
  </si>
  <si>
    <t>Email:</t>
  </si>
  <si>
    <t>Department:</t>
  </si>
  <si>
    <t>Role:</t>
  </si>
  <si>
    <t>Gender:</t>
  </si>
  <si>
    <t>Male</t>
  </si>
  <si>
    <t>Female</t>
  </si>
  <si>
    <t>Other</t>
  </si>
  <si>
    <t>Ana</t>
  </si>
  <si>
    <t>Haily</t>
  </si>
  <si>
    <t>ana.haily@gmail.com</t>
  </si>
  <si>
    <t>Annual Salary:</t>
  </si>
  <si>
    <t>DOB (DD-MM-YY):</t>
  </si>
  <si>
    <t>Annual Salary</t>
  </si>
  <si>
    <t xml:space="preserve"> Employee Registration</t>
  </si>
  <si>
    <r>
      <t xml:space="preserve">Get </t>
    </r>
    <r>
      <rPr>
        <b/>
        <sz val="16"/>
        <color theme="1"/>
        <rFont val="Aptos Narrow"/>
        <family val="2"/>
        <scheme val="minor"/>
      </rPr>
      <t>10% OFF</t>
    </r>
    <r>
      <rPr>
        <sz val="16"/>
        <color theme="1"/>
        <rFont val="Aptos Narrow"/>
        <family val="2"/>
        <scheme val="minor"/>
      </rPr>
      <t xml:space="preserve"> our course using coupon code </t>
    </r>
    <r>
      <rPr>
        <b/>
        <sz val="16"/>
        <color theme="1"/>
        <rFont val="Aptos Narrow"/>
        <family val="2"/>
        <scheme val="minor"/>
      </rPr>
      <t>EMAIL10</t>
    </r>
  </si>
  <si>
    <t>Get our Excel for Business &amp; Finance Course</t>
  </si>
  <si>
    <t>Made by Career Principles Ltd.</t>
  </si>
  <si>
    <t>Note</t>
  </si>
  <si>
    <t>All content is copyright material of Career Principles Ltd.</t>
  </si>
  <si>
    <t>This Excel model may not be reproduced or distributed by any means, including printing, 
screencapturing, or any other method without the prior permission of the publisher.</t>
  </si>
  <si>
    <t>Advanced Data Entry Form</t>
  </si>
  <si>
    <t>Go to Form-&gt; here</t>
  </si>
  <si>
    <t>Go to Email Code-&gt; here</t>
  </si>
  <si>
    <t>Sam</t>
  </si>
  <si>
    <t>Wong</t>
  </si>
  <si>
    <t>sam.wong@gmail.com</t>
  </si>
  <si>
    <t>21/12/1998</t>
  </si>
  <si>
    <t>Andrew</t>
  </si>
  <si>
    <t>Millington</t>
  </si>
  <si>
    <t>28-02-1989</t>
  </si>
  <si>
    <t>Sarah</t>
  </si>
  <si>
    <t>Williamson</t>
  </si>
  <si>
    <t>millington.andrew@gmail.com</t>
  </si>
  <si>
    <t>sarah@company.com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</si>
</sst>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b/>
      <sz val="20"/>
      <color theme="0"/>
      <name val="Aptos Narrow"/>
      <scheme val="minor"/>
    </font>
    <font>
      <b/>
      <sz val="26"/>
      <color theme="0"/>
      <name val="Aptos Narrow"/>
      <scheme val="minor"/>
    </font>
    <font>
      <sz val="12"/>
      <color theme="0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i/>
      <sz val="11"/>
      <color theme="6"/>
      <name val="Aptos Narrow"/>
      <scheme val="minor"/>
    </font>
    <font>
      <b/>
      <sz val="6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u/>
      <sz val="20"/>
      <color rgb="FF073673"/>
      <name val="Aptos Narrow"/>
      <family val="2"/>
      <scheme val="minor"/>
    </font>
    <font>
      <i/>
      <sz val="14"/>
      <color rgb="FF0432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56"/>
      <color theme="1"/>
      <name val="Aptos Narrow"/>
      <family val="2"/>
      <scheme val="minor"/>
    </font>
    <font>
      <b/>
      <u/>
      <sz val="14"/>
      <color theme="10"/>
      <name val="Aptos Narrow"/>
      <scheme val="minor"/>
    </font>
    <font>
      <b/>
      <i/>
      <sz val="12"/>
      <color rgb="FFFF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73673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</cellStyleXfs>
  <cellXfs count="54">
    <xf numFmtId="0" fontId="0" fillId="0" borderId="0" xfId="0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0" xfId="0" applyFill="1" applyAlignment="1">
      <alignment horizontal="right"/>
    </xf>
    <xf numFmtId="0" fontId="0" fillId="2" borderId="7" xfId="0" applyFill="1" applyBorder="1"/>
    <xf numFmtId="0" fontId="0" fillId="2" borderId="9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0" fillId="4" borderId="6" xfId="0" applyFill="1" applyBorder="1"/>
    <xf numFmtId="0" fontId="4" fillId="4" borderId="0" xfId="0" applyFont="1" applyFill="1"/>
    <xf numFmtId="0" fontId="3" fillId="4" borderId="0" xfId="0" applyFont="1" applyFill="1" applyAlignment="1">
      <alignment horizontal="center"/>
    </xf>
    <xf numFmtId="14" fontId="0" fillId="0" borderId="0" xfId="0" applyNumberFormat="1"/>
    <xf numFmtId="3" fontId="0" fillId="0" borderId="0" xfId="0" applyNumberFormat="1"/>
    <xf numFmtId="0" fontId="5" fillId="4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2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6" fillId="0" borderId="0" xfId="0" applyFont="1"/>
    <xf numFmtId="165" fontId="6" fillId="0" borderId="0" xfId="1" applyNumberFormat="1" applyFont="1"/>
    <xf numFmtId="2" fontId="6" fillId="0" borderId="0" xfId="0" applyNumberFormat="1" applyFont="1"/>
    <xf numFmtId="0" fontId="0" fillId="0" borderId="0" xfId="0" applyAlignment="1">
      <alignment horizontal="left"/>
    </xf>
    <xf numFmtId="0" fontId="1" fillId="0" borderId="10" xfId="3" applyBorder="1"/>
    <xf numFmtId="0" fontId="1" fillId="0" borderId="12" xfId="3" applyBorder="1"/>
    <xf numFmtId="0" fontId="1" fillId="5" borderId="0" xfId="3" applyFill="1"/>
    <xf numFmtId="0" fontId="1" fillId="0" borderId="13" xfId="3" applyBorder="1"/>
    <xf numFmtId="0" fontId="9" fillId="0" borderId="0" xfId="3" applyFont="1" applyAlignment="1">
      <alignment horizontal="center" vertical="center"/>
    </xf>
    <xf numFmtId="0" fontId="1" fillId="0" borderId="14" xfId="3" applyBorder="1"/>
    <xf numFmtId="0" fontId="1" fillId="0" borderId="0" xfId="3"/>
    <xf numFmtId="0" fontId="10" fillId="0" borderId="0" xfId="3" applyFont="1" applyAlignment="1">
      <alignment horizontal="center"/>
    </xf>
    <xf numFmtId="0" fontId="1" fillId="0" borderId="13" xfId="3" applyBorder="1" applyAlignment="1">
      <alignment vertical="center"/>
    </xf>
    <xf numFmtId="0" fontId="12" fillId="6" borderId="15" xfId="4" applyFont="1" applyFill="1" applyBorder="1" applyAlignment="1">
      <alignment horizontal="center" vertical="center"/>
    </xf>
    <xf numFmtId="0" fontId="1" fillId="0" borderId="14" xfId="3" applyBorder="1" applyAlignment="1">
      <alignment vertical="center"/>
    </xf>
    <xf numFmtId="0" fontId="1" fillId="5" borderId="0" xfId="3" applyFill="1" applyAlignment="1">
      <alignment vertical="center"/>
    </xf>
    <xf numFmtId="0" fontId="13" fillId="0" borderId="0" xfId="4" applyFont="1" applyFill="1" applyBorder="1"/>
    <xf numFmtId="0" fontId="14" fillId="0" borderId="16" xfId="3" applyFont="1" applyBorder="1"/>
    <xf numFmtId="0" fontId="1" fillId="0" borderId="0" xfId="3" applyAlignment="1">
      <alignment vertical="top" wrapText="1"/>
    </xf>
    <xf numFmtId="0" fontId="1" fillId="0" borderId="17" xfId="3" applyBorder="1"/>
    <xf numFmtId="0" fontId="1" fillId="0" borderId="16" xfId="3" applyBorder="1"/>
    <xf numFmtId="0" fontId="1" fillId="0" borderId="18" xfId="3" applyBorder="1"/>
    <xf numFmtId="0" fontId="15" fillId="0" borderId="11" xfId="3" applyFont="1" applyBorder="1" applyAlignment="1">
      <alignment horizontal="center" vertical="center"/>
    </xf>
    <xf numFmtId="0" fontId="16" fillId="0" borderId="0" xfId="2" applyFont="1"/>
    <xf numFmtId="0" fontId="8" fillId="2" borderId="8" xfId="0" applyFont="1" applyFill="1" applyBorder="1" applyAlignment="1">
      <alignment horizontal="center"/>
    </xf>
    <xf numFmtId="0" fontId="17" fillId="2" borderId="0" xfId="0" applyFont="1" applyFill="1" applyAlignment="1">
      <alignment horizontal="right"/>
    </xf>
    <xf numFmtId="0" fontId="6" fillId="3" borderId="0" xfId="0" applyFont="1" applyFill="1"/>
    <xf numFmtId="14" fontId="6" fillId="0" borderId="0" xfId="0" applyNumberFormat="1" applyFont="1"/>
    <xf numFmtId="3" fontId="6" fillId="0" borderId="0" xfId="0" applyNumberFormat="1" applyFont="1"/>
    <xf numFmtId="0" fontId="0" fillId="3" borderId="1" xfId="0" applyFill="1" applyBorder="1" applyAlignment="1" applyProtection="1">
      <alignment horizontal="center"/>
      <protection locked="0"/>
    </xf>
    <xf numFmtId="0" fontId="7" fillId="3" borderId="1" xfId="2" applyFill="1" applyBorder="1" applyAlignment="1" applyProtection="1">
      <alignment horizontal="center"/>
      <protection locked="0"/>
    </xf>
    <xf numFmtId="14" fontId="0" fillId="3" borderId="1" xfId="0" applyNumberFormat="1" applyFill="1" applyBorder="1" applyAlignment="1" applyProtection="1">
      <alignment horizontal="center"/>
      <protection locked="0"/>
    </xf>
    <xf numFmtId="3" fontId="0" fillId="3" borderId="1" xfId="0" applyNumberFormat="1" applyFill="1" applyBorder="1" applyAlignment="1" applyProtection="1">
      <alignment horizontal="center"/>
      <protection locked="0"/>
    </xf>
  </cellXfs>
  <cellStyles count="5">
    <cellStyle name="Comma" xfId="1" builtinId="3"/>
    <cellStyle name="Hyperlink" xfId="2" builtinId="8"/>
    <cellStyle name="Hyperlink 2" xfId="4" xr:uid="{093F81E5-9662-984B-8304-0ACF3EFD771C}"/>
    <cellStyle name="Normal" xfId="0" builtinId="0"/>
    <cellStyle name="Normal 2 2" xfId="3" xr:uid="{E21D4C46-EAC9-CA4E-8057-570047EDC636}"/>
  </cellStyles>
  <dxfs count="2">
    <dxf>
      <numFmt numFmtId="166" formatCode="d/m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scheme val="minor"/>
      </font>
      <fill>
        <patternFill patternType="solid">
          <fgColor indexed="64"/>
          <bgColor theme="6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736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careerprinciples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2487126</xdr:colOff>
      <xdr:row>3</xdr:row>
      <xdr:rowOff>68813</xdr:rowOff>
    </xdr:from>
    <xdr:ext cx="2648507" cy="921414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E78F6B-3837-E244-A7CD-3BCF3D326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60326" y="1465813"/>
          <a:ext cx="2648507" cy="921414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736880</xdr:colOff>
      <xdr:row>1</xdr:row>
      <xdr:rowOff>116123</xdr:rowOff>
    </xdr:from>
    <xdr:to>
      <xdr:col>7</xdr:col>
      <xdr:colOff>271501</xdr:colOff>
      <xdr:row>3</xdr:row>
      <xdr:rowOff>31198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856BAE2-7304-3640-7454-787C42811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0480" y="319323"/>
          <a:ext cx="1180541" cy="555155"/>
        </a:xfrm>
        <a:prstGeom prst="rect">
          <a:avLst/>
        </a:prstGeom>
      </xdr:spPr>
    </xdr:pic>
    <xdr:clientData/>
  </xdr:twoCellAnchor>
  <xdr:twoCellAnchor>
    <xdr:from>
      <xdr:col>3</xdr:col>
      <xdr:colOff>792480</xdr:colOff>
      <xdr:row>13</xdr:row>
      <xdr:rowOff>68580</xdr:rowOff>
    </xdr:from>
    <xdr:to>
      <xdr:col>5</xdr:col>
      <xdr:colOff>601980</xdr:colOff>
      <xdr:row>15</xdr:row>
      <xdr:rowOff>114300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D32F9161-3AC1-D9BE-675C-B71C1E55CC55}"/>
            </a:ext>
          </a:extLst>
        </xdr:cNvPr>
        <xdr:cNvSpPr/>
      </xdr:nvSpPr>
      <xdr:spPr>
        <a:xfrm>
          <a:off x="2994660" y="2887980"/>
          <a:ext cx="1485900" cy="44196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kern="1200"/>
            <a:t>Submit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0</xdr:row>
      <xdr:rowOff>158750</xdr:rowOff>
    </xdr:from>
    <xdr:to>
      <xdr:col>2</xdr:col>
      <xdr:colOff>260350</xdr:colOff>
      <xdr:row>4</xdr:row>
      <xdr:rowOff>31750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66B2EBA-D577-8EAA-530C-356FF954D64B}"/>
            </a:ext>
          </a:extLst>
        </xdr:cNvPr>
        <xdr:cNvSpPr/>
      </xdr:nvSpPr>
      <xdr:spPr>
        <a:xfrm>
          <a:off x="463550" y="158750"/>
          <a:ext cx="1130300" cy="68580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26926</xdr:colOff>
      <xdr:row>0</xdr:row>
      <xdr:rowOff>171450</xdr:rowOff>
    </xdr:from>
    <xdr:to>
      <xdr:col>2</xdr:col>
      <xdr:colOff>239774</xdr:colOff>
      <xdr:row>1</xdr:row>
      <xdr:rowOff>165100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A1C3F12-31F9-1FFB-3C22-82C84E800483}"/>
            </a:ext>
          </a:extLst>
        </xdr:cNvPr>
        <xdr:cNvSpPr txBox="1"/>
      </xdr:nvSpPr>
      <xdr:spPr>
        <a:xfrm>
          <a:off x="484126" y="171450"/>
          <a:ext cx="1089148" cy="19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kern="1200">
              <a:solidFill>
                <a:schemeClr val="bg1"/>
              </a:solidFill>
            </a:rPr>
            <a:t>Employee</a:t>
          </a:r>
          <a:r>
            <a:rPr lang="en-US" sz="1200" b="1" kern="1200" baseline="0">
              <a:solidFill>
                <a:schemeClr val="bg1"/>
              </a:solidFill>
            </a:rPr>
            <a:t> Count</a:t>
          </a:r>
          <a:endParaRPr lang="en-US" sz="12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47502</xdr:colOff>
      <xdr:row>2</xdr:row>
      <xdr:rowOff>25400</xdr:rowOff>
    </xdr:from>
    <xdr:to>
      <xdr:col>2</xdr:col>
      <xdr:colOff>219199</xdr:colOff>
      <xdr:row>3</xdr:row>
      <xdr:rowOff>139700</xdr:rowOff>
    </xdr:to>
    <xdr:sp macro="" textlink="$B$5">
      <xdr:nvSpPr>
        <xdr:cNvPr id="4" name="TextBox 3">
          <a:extLst>
            <a:ext uri="{FF2B5EF4-FFF2-40B4-BE49-F238E27FC236}">
              <a16:creationId xmlns:a16="http://schemas.microsoft.com/office/drawing/2014/main" id="{A69E4DD0-28F5-41F2-E648-F8D49E32E7E2}"/>
            </a:ext>
          </a:extLst>
        </xdr:cNvPr>
        <xdr:cNvSpPr txBox="1"/>
      </xdr:nvSpPr>
      <xdr:spPr>
        <a:xfrm>
          <a:off x="504702" y="431800"/>
          <a:ext cx="1047997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AD989B7-C47C-4297-8FF3-09A615FA58B3}" type="TxLink">
            <a:rPr lang="en-US" sz="2000" b="1" i="0" u="none" strike="noStrike" kern="1200">
              <a:solidFill>
                <a:schemeClr val="bg1"/>
              </a:solidFill>
              <a:latin typeface="Aptos Narrow"/>
            </a:rPr>
            <a:t>5</a:t>
          </a:fld>
          <a:endParaRPr lang="en-US" sz="20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566738</xdr:colOff>
      <xdr:row>0</xdr:row>
      <xdr:rowOff>158750</xdr:rowOff>
    </xdr:from>
    <xdr:to>
      <xdr:col>4</xdr:col>
      <xdr:colOff>7938</xdr:colOff>
      <xdr:row>4</xdr:row>
      <xdr:rowOff>31750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10CCCD3D-35DE-E9CE-78BB-2A31E9DBF16E}"/>
            </a:ext>
          </a:extLst>
        </xdr:cNvPr>
        <xdr:cNvSpPr/>
      </xdr:nvSpPr>
      <xdr:spPr>
        <a:xfrm>
          <a:off x="1900238" y="158750"/>
          <a:ext cx="1130300" cy="68580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587314</xdr:colOff>
      <xdr:row>0</xdr:row>
      <xdr:rowOff>171450</xdr:rowOff>
    </xdr:from>
    <xdr:to>
      <xdr:col>3</xdr:col>
      <xdr:colOff>825562</xdr:colOff>
      <xdr:row>1</xdr:row>
      <xdr:rowOff>165100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5A282E8-D9DB-3352-F581-B8D4674FD566}"/>
            </a:ext>
          </a:extLst>
        </xdr:cNvPr>
        <xdr:cNvSpPr txBox="1"/>
      </xdr:nvSpPr>
      <xdr:spPr>
        <a:xfrm>
          <a:off x="1920814" y="171450"/>
          <a:ext cx="1089148" cy="19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kern="1200">
              <a:solidFill>
                <a:schemeClr val="bg1"/>
              </a:solidFill>
            </a:rPr>
            <a:t>Average Salary</a:t>
          </a:r>
        </a:p>
      </xdr:txBody>
    </xdr:sp>
    <xdr:clientData/>
  </xdr:twoCellAnchor>
  <xdr:twoCellAnchor>
    <xdr:from>
      <xdr:col>2</xdr:col>
      <xdr:colOff>607890</xdr:colOff>
      <xdr:row>2</xdr:row>
      <xdr:rowOff>25400</xdr:rowOff>
    </xdr:from>
    <xdr:to>
      <xdr:col>3</xdr:col>
      <xdr:colOff>804987</xdr:colOff>
      <xdr:row>3</xdr:row>
      <xdr:rowOff>139700</xdr:rowOff>
    </xdr:to>
    <xdr:sp macro="" textlink="$D$5">
      <xdr:nvSpPr>
        <xdr:cNvPr id="9" name="TextBox 8">
          <a:extLst>
            <a:ext uri="{FF2B5EF4-FFF2-40B4-BE49-F238E27FC236}">
              <a16:creationId xmlns:a16="http://schemas.microsoft.com/office/drawing/2014/main" id="{454A0909-C948-795E-E5F2-71B39F8BFA3B}"/>
            </a:ext>
          </a:extLst>
        </xdr:cNvPr>
        <xdr:cNvSpPr txBox="1"/>
      </xdr:nvSpPr>
      <xdr:spPr>
        <a:xfrm>
          <a:off x="1941390" y="431800"/>
          <a:ext cx="1047997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5B91A9A-E9CA-4D84-B9CF-FAF919CAAF0B}" type="TxLink">
            <a:rPr lang="en-US" sz="2000" b="1" i="0" u="none" strike="noStrike" kern="1200">
              <a:solidFill>
                <a:schemeClr val="bg1"/>
              </a:solidFill>
              <a:latin typeface="Aptos Narrow"/>
            </a:rPr>
            <a:t> 77,500 </a:t>
          </a:fld>
          <a:endParaRPr lang="en-US" sz="40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314326</xdr:colOff>
      <xdr:row>0</xdr:row>
      <xdr:rowOff>158750</xdr:rowOff>
    </xdr:from>
    <xdr:to>
      <xdr:col>5</xdr:col>
      <xdr:colOff>498476</xdr:colOff>
      <xdr:row>4</xdr:row>
      <xdr:rowOff>31750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9F3168DF-243F-2F34-B129-D430561CAB4B}"/>
            </a:ext>
          </a:extLst>
        </xdr:cNvPr>
        <xdr:cNvSpPr/>
      </xdr:nvSpPr>
      <xdr:spPr>
        <a:xfrm>
          <a:off x="3336926" y="158750"/>
          <a:ext cx="1130300" cy="68580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334902</xdr:colOff>
      <xdr:row>0</xdr:row>
      <xdr:rowOff>171450</xdr:rowOff>
    </xdr:from>
    <xdr:to>
      <xdr:col>5</xdr:col>
      <xdr:colOff>477900</xdr:colOff>
      <xdr:row>1</xdr:row>
      <xdr:rowOff>165100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497CE966-2A61-75FB-CC4E-B92F4AEFE551}"/>
            </a:ext>
          </a:extLst>
        </xdr:cNvPr>
        <xdr:cNvSpPr txBox="1"/>
      </xdr:nvSpPr>
      <xdr:spPr>
        <a:xfrm>
          <a:off x="3357502" y="171450"/>
          <a:ext cx="1089148" cy="19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kern="1200">
              <a:solidFill>
                <a:schemeClr val="bg1"/>
              </a:solidFill>
            </a:rPr>
            <a:t>Average Age</a:t>
          </a:r>
        </a:p>
      </xdr:txBody>
    </xdr:sp>
    <xdr:clientData/>
  </xdr:twoCellAnchor>
  <xdr:twoCellAnchor>
    <xdr:from>
      <xdr:col>4</xdr:col>
      <xdr:colOff>355478</xdr:colOff>
      <xdr:row>2</xdr:row>
      <xdr:rowOff>25400</xdr:rowOff>
    </xdr:from>
    <xdr:to>
      <xdr:col>5</xdr:col>
      <xdr:colOff>457325</xdr:colOff>
      <xdr:row>3</xdr:row>
      <xdr:rowOff>139700</xdr:rowOff>
    </xdr:to>
    <xdr:sp macro="" textlink="$E$5">
      <xdr:nvSpPr>
        <xdr:cNvPr id="13" name="TextBox 12">
          <a:extLst>
            <a:ext uri="{FF2B5EF4-FFF2-40B4-BE49-F238E27FC236}">
              <a16:creationId xmlns:a16="http://schemas.microsoft.com/office/drawing/2014/main" id="{01DE6314-E417-38B8-13B2-35C19E89BA64}"/>
            </a:ext>
          </a:extLst>
        </xdr:cNvPr>
        <xdr:cNvSpPr txBox="1"/>
      </xdr:nvSpPr>
      <xdr:spPr>
        <a:xfrm>
          <a:off x="3378078" y="431800"/>
          <a:ext cx="1047997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87AEEF-5D8D-4D5A-B226-E4D3F7583535}" type="TxLink">
            <a:rPr lang="en-US" sz="2000" b="1" i="0" u="none" strike="noStrike" kern="1200">
              <a:solidFill>
                <a:schemeClr val="bg1"/>
              </a:solidFill>
              <a:latin typeface="Aptos Narrow"/>
            </a:rPr>
            <a:t>32.00</a:t>
          </a:fld>
          <a:endParaRPr lang="en-US" sz="40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804864</xdr:colOff>
      <xdr:row>0</xdr:row>
      <xdr:rowOff>158750</xdr:rowOff>
    </xdr:from>
    <xdr:to>
      <xdr:col>7</xdr:col>
      <xdr:colOff>258764</xdr:colOff>
      <xdr:row>4</xdr:row>
      <xdr:rowOff>31750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54EA227C-C231-8D73-92F9-07CA7F1F622D}"/>
            </a:ext>
          </a:extLst>
        </xdr:cNvPr>
        <xdr:cNvSpPr/>
      </xdr:nvSpPr>
      <xdr:spPr>
        <a:xfrm>
          <a:off x="4773614" y="158750"/>
          <a:ext cx="1130300" cy="68580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5</xdr:col>
      <xdr:colOff>825440</xdr:colOff>
      <xdr:row>0</xdr:row>
      <xdr:rowOff>171450</xdr:rowOff>
    </xdr:from>
    <xdr:to>
      <xdr:col>7</xdr:col>
      <xdr:colOff>238188</xdr:colOff>
      <xdr:row>1</xdr:row>
      <xdr:rowOff>165100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FF03852B-E59D-AE6A-5148-EEAFB52C6B2F}"/>
            </a:ext>
          </a:extLst>
        </xdr:cNvPr>
        <xdr:cNvSpPr txBox="1"/>
      </xdr:nvSpPr>
      <xdr:spPr>
        <a:xfrm>
          <a:off x="4794190" y="171450"/>
          <a:ext cx="1089148" cy="19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kern="1200">
              <a:solidFill>
                <a:schemeClr val="bg1"/>
              </a:solidFill>
            </a:rPr>
            <a:t>Female Count</a:t>
          </a:r>
        </a:p>
      </xdr:txBody>
    </xdr:sp>
    <xdr:clientData/>
  </xdr:twoCellAnchor>
  <xdr:twoCellAnchor>
    <xdr:from>
      <xdr:col>6</xdr:col>
      <xdr:colOff>7816</xdr:colOff>
      <xdr:row>2</xdr:row>
      <xdr:rowOff>25400</xdr:rowOff>
    </xdr:from>
    <xdr:to>
      <xdr:col>7</xdr:col>
      <xdr:colOff>217613</xdr:colOff>
      <xdr:row>3</xdr:row>
      <xdr:rowOff>139700</xdr:rowOff>
    </xdr:to>
    <xdr:sp macro="" textlink="$G$5">
      <xdr:nvSpPr>
        <xdr:cNvPr id="17" name="TextBox 16">
          <a:extLst>
            <a:ext uri="{FF2B5EF4-FFF2-40B4-BE49-F238E27FC236}">
              <a16:creationId xmlns:a16="http://schemas.microsoft.com/office/drawing/2014/main" id="{BF4C06AB-5D39-AFCB-3DEC-85B254828D36}"/>
            </a:ext>
          </a:extLst>
        </xdr:cNvPr>
        <xdr:cNvSpPr txBox="1"/>
      </xdr:nvSpPr>
      <xdr:spPr>
        <a:xfrm>
          <a:off x="4814766" y="431800"/>
          <a:ext cx="1047997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8AFE1-CF78-4F05-B691-E7620B905C32}" type="TxLink">
            <a:rPr lang="en-US" sz="2000" b="1" i="0" u="none" strike="noStrike" kern="1200">
              <a:solidFill>
                <a:schemeClr val="bg1"/>
              </a:solidFill>
              <a:latin typeface="Aptos Narrow"/>
            </a:rPr>
            <a:t>2</a:t>
          </a:fld>
          <a:endParaRPr lang="en-US" sz="40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565150</xdr:colOff>
      <xdr:row>0</xdr:row>
      <xdr:rowOff>158750</xdr:rowOff>
    </xdr:from>
    <xdr:to>
      <xdr:col>9</xdr:col>
      <xdr:colOff>19050</xdr:colOff>
      <xdr:row>4</xdr:row>
      <xdr:rowOff>31750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3A6F1D5-99D9-336E-673A-6AD9F7CAABB8}"/>
            </a:ext>
          </a:extLst>
        </xdr:cNvPr>
        <xdr:cNvSpPr/>
      </xdr:nvSpPr>
      <xdr:spPr>
        <a:xfrm>
          <a:off x="6210300" y="158750"/>
          <a:ext cx="1130300" cy="685800"/>
        </a:xfrm>
        <a:prstGeom prst="rect">
          <a:avLst/>
        </a:prstGeom>
        <a:solidFill>
          <a:schemeClr val="accent3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585726</xdr:colOff>
      <xdr:row>0</xdr:row>
      <xdr:rowOff>171450</xdr:rowOff>
    </xdr:from>
    <xdr:to>
      <xdr:col>8</xdr:col>
      <xdr:colOff>836674</xdr:colOff>
      <xdr:row>1</xdr:row>
      <xdr:rowOff>165100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757C1C8C-CC68-A803-C96B-E45327D0FFEF}"/>
            </a:ext>
          </a:extLst>
        </xdr:cNvPr>
        <xdr:cNvSpPr txBox="1"/>
      </xdr:nvSpPr>
      <xdr:spPr>
        <a:xfrm>
          <a:off x="6230876" y="171450"/>
          <a:ext cx="1089148" cy="19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kern="1200">
              <a:solidFill>
                <a:schemeClr val="bg1"/>
              </a:solidFill>
            </a:rPr>
            <a:t>Intern</a:t>
          </a:r>
          <a:r>
            <a:rPr lang="en-US" sz="1200" b="1" kern="1200" baseline="0">
              <a:solidFill>
                <a:schemeClr val="bg1"/>
              </a:solidFill>
            </a:rPr>
            <a:t> Count</a:t>
          </a:r>
          <a:endParaRPr lang="en-US" sz="12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606302</xdr:colOff>
      <xdr:row>2</xdr:row>
      <xdr:rowOff>25400</xdr:rowOff>
    </xdr:from>
    <xdr:to>
      <xdr:col>8</xdr:col>
      <xdr:colOff>816099</xdr:colOff>
      <xdr:row>3</xdr:row>
      <xdr:rowOff>139700</xdr:rowOff>
    </xdr:to>
    <xdr:sp macro="" textlink="$I$5">
      <xdr:nvSpPr>
        <xdr:cNvPr id="21" name="TextBox 20">
          <a:extLst>
            <a:ext uri="{FF2B5EF4-FFF2-40B4-BE49-F238E27FC236}">
              <a16:creationId xmlns:a16="http://schemas.microsoft.com/office/drawing/2014/main" id="{C069614D-BA0E-AA6A-E1DF-5604E23CDD1B}"/>
            </a:ext>
          </a:extLst>
        </xdr:cNvPr>
        <xdr:cNvSpPr txBox="1"/>
      </xdr:nvSpPr>
      <xdr:spPr>
        <a:xfrm>
          <a:off x="6251452" y="431800"/>
          <a:ext cx="1047997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E17AAF-0906-4382-B677-5D276E547164}" type="TxLink">
            <a:rPr lang="en-US" sz="2000" b="1" i="0" u="none" strike="noStrike" kern="1200">
              <a:solidFill>
                <a:schemeClr val="bg1"/>
              </a:solidFill>
              <a:latin typeface="Aptos Narrow"/>
            </a:rPr>
            <a:t>1</a:t>
          </a:fld>
          <a:endParaRPr lang="en-US" sz="4000" b="1" kern="1200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812800</xdr:colOff>
      <xdr:row>2</xdr:row>
      <xdr:rowOff>12700</xdr:rowOff>
    </xdr:from>
    <xdr:to>
      <xdr:col>9</xdr:col>
      <xdr:colOff>177800</xdr:colOff>
      <xdr:row>43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35D45B1-186F-AECC-E536-A238A9FDEDBE}"/>
            </a:ext>
          </a:extLst>
        </xdr:cNvPr>
        <xdr:cNvSpPr/>
      </xdr:nvSpPr>
      <xdr:spPr>
        <a:xfrm>
          <a:off x="812800" y="419100"/>
          <a:ext cx="6794500" cy="8318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Dim OutlookApp As Object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Dim OutlookMail As Object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Dim FirstName As String, LastName As String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Dim EmailBody As String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Dim FilePath As String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n-US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n-GB" sz="12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' Extract First Name &amp; Last Name from the Form sheet (Modify cell references accordingly)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FirstName = Sheets("Form").Range("D6").</a:t>
          </a:r>
          <a:r>
            <a:rPr lang="en-US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Value</a:t>
          </a:r>
          <a:endParaRPr lang="en-GB" sz="12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LastName = Sheets("Form").Range("D8").</a:t>
          </a:r>
          <a:r>
            <a:rPr lang="en-US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Value</a:t>
          </a:r>
          <a:endParaRPr lang="en-GB" sz="12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n-US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n-GB" sz="12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' Construct the email body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EmailBody = FirstName &amp; " " &amp; LastName &amp; " has submitted the employee registration form."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n-US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n-GB" sz="12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' Get the file path of the current workbook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FilePath = ThisWorkbook.FullName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n-US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n-GB" sz="12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' Initialize Outlook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On Error Resume Next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Set OutlookApp = CreateObject("Outlook.</a:t>
          </a:r>
          <a:r>
            <a:rPr lang="en-US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Application")</a:t>
          </a:r>
          <a:endParaRPr lang="en-GB" sz="12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On Error GoTo 0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n-US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n-GB" sz="12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If Not OutlookApp Is Nothing Then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' Create a new email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Set OutlookMail = OutlookApp.CreateItem(0)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</a:t>
          </a:r>
          <a:r>
            <a:rPr lang="en-US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n-GB" sz="12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' Configure email details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With OutlookMail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    .To = "kenjiexplains@gmail.com</a:t>
          </a:r>
          <a:r>
            <a:rPr lang="en-US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</a:t>
          </a:r>
          <a:endParaRPr lang="en-GB" sz="12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    .Subject = "New Form Entry"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    .Body = EmailBody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    .Attachments.Add FilePath ' Attach the current file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    .Send ' Send the email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End With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</a:t>
          </a:r>
          <a:r>
            <a:rPr lang="en-US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n-GB" sz="12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' Clean up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Set OutlookMail = Nothing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Set OutlookApp = Nothing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Else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    MsgBox "Outlook is not installed or configured properly.", vbExclamation, "Error"</a:t>
          </a:r>
        </a:p>
        <a:p>
          <a:r>
            <a:rPr lang="en-GB" sz="1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   End If</a:t>
          </a:r>
        </a:p>
        <a:p>
          <a:pPr algn="l"/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9808CB-AE1A-3644-AF65-86CBCECBC8A0}" name="Table1" displayName="Table1" ref="B7:I12" totalsRowShown="0" headerRowDxfId="1">
  <autoFilter ref="B7:I12" xr:uid="{879808CB-AE1A-3644-AF65-86CBCECBC8A0}"/>
  <tableColumns count="8">
    <tableColumn id="1" xr3:uid="{8B37FCA9-67DB-C64E-9BCA-B91911238757}" name="First Name"/>
    <tableColumn id="2" xr3:uid="{5079E109-4479-1844-9FE2-FD8D6FBE02BB}" name="Last Name"/>
    <tableColumn id="3" xr3:uid="{7D473C79-1058-FA4D-978C-00BB906840C5}" name="Email"/>
    <tableColumn id="4" xr3:uid="{9B5A3189-FD48-9640-8A75-8C8D6C509563}" name="DOB" dataDxfId="0"/>
    <tableColumn id="5" xr3:uid="{D1B97A67-8D6D-DE4A-B939-593B1FDD3769}" name="Department"/>
    <tableColumn id="6" xr3:uid="{4CE94870-0D7C-0543-8544-E4C556C72FF8}" name="Role"/>
    <tableColumn id="7" xr3:uid="{0ED1EBA9-FD96-B34F-8D62-1C2A40A64AA1}" name="Gender"/>
    <tableColumn id="8" xr3:uid="{6BD70D75-EA04-1146-8E79-810EECBF001C}" name="Annual Salary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youtube.com/c/KenjiExplains/featured" TargetMode="External"/><Relationship Id="rId1" Type="http://schemas.openxmlformats.org/officeDocument/2006/relationships/hyperlink" Target="https://www.careerprinciples.com/courses/excel-for-business-finance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7979-E153-B94A-958F-06C6F06DEC0E}">
  <sheetPr codeName="Sheet4"/>
  <dimension ref="B3:D19"/>
  <sheetViews>
    <sheetView showGridLines="0" topLeftCell="A3" zoomScale="110" zoomScaleNormal="110" workbookViewId="0">
      <selection activeCell="C12" sqref="C12"/>
    </sheetView>
  </sheetViews>
  <sheetFormatPr defaultColWidth="10.875" defaultRowHeight="15.75" x14ac:dyDescent="0.25"/>
  <cols>
    <col min="1" max="1" width="10.875" style="27"/>
    <col min="2" max="2" width="8.5" style="27" customWidth="1"/>
    <col min="3" max="3" width="95.625" style="27" customWidth="1"/>
    <col min="4" max="4" width="9.5" style="27" customWidth="1"/>
    <col min="5" max="16384" width="10.875" style="27"/>
  </cols>
  <sheetData>
    <row r="3" spans="2:4" ht="74.25" x14ac:dyDescent="0.25">
      <c r="B3" s="25"/>
      <c r="C3" s="43" t="s">
        <v>49</v>
      </c>
      <c r="D3" s="26"/>
    </row>
    <row r="4" spans="2:4" ht="42" customHeight="1" x14ac:dyDescent="0.25">
      <c r="B4" s="28"/>
      <c r="C4" s="29"/>
      <c r="D4" s="30"/>
    </row>
    <row r="5" spans="2:4" ht="32.1" customHeight="1" x14ac:dyDescent="0.25">
      <c r="B5" s="28"/>
      <c r="C5" s="29"/>
      <c r="D5" s="30"/>
    </row>
    <row r="6" spans="2:4" ht="11.1" customHeight="1" x14ac:dyDescent="0.25">
      <c r="B6" s="28"/>
      <c r="C6" s="31"/>
      <c r="D6" s="30"/>
    </row>
    <row r="7" spans="2:4" ht="21" x14ac:dyDescent="0.35">
      <c r="B7" s="28"/>
      <c r="C7" s="32" t="s">
        <v>43</v>
      </c>
      <c r="D7" s="30"/>
    </row>
    <row r="8" spans="2:4" ht="11.1" customHeight="1" x14ac:dyDescent="0.25">
      <c r="B8" s="28"/>
      <c r="C8" s="31"/>
      <c r="D8" s="30"/>
    </row>
    <row r="9" spans="2:4" s="36" customFormat="1" ht="26.25" x14ac:dyDescent="0.25">
      <c r="B9" s="33"/>
      <c r="C9" s="34" t="s">
        <v>44</v>
      </c>
      <c r="D9" s="35"/>
    </row>
    <row r="10" spans="2:4" x14ac:dyDescent="0.25">
      <c r="B10" s="28"/>
      <c r="C10" s="31"/>
      <c r="D10" s="30"/>
    </row>
    <row r="11" spans="2:4" ht="18.75" x14ac:dyDescent="0.3">
      <c r="B11" s="28"/>
      <c r="C11" s="44" t="s">
        <v>50</v>
      </c>
      <c r="D11" s="30"/>
    </row>
    <row r="12" spans="2:4" ht="18.75" x14ac:dyDescent="0.3">
      <c r="B12" s="28"/>
      <c r="C12" s="44" t="s">
        <v>51</v>
      </c>
      <c r="D12" s="30"/>
    </row>
    <row r="13" spans="2:4" ht="6" customHeight="1" x14ac:dyDescent="0.25">
      <c r="B13" s="28"/>
      <c r="C13" s="31"/>
      <c r="D13" s="30"/>
    </row>
    <row r="14" spans="2:4" ht="18.75" x14ac:dyDescent="0.3">
      <c r="B14" s="28"/>
      <c r="C14" s="37" t="s">
        <v>45</v>
      </c>
      <c r="D14" s="30"/>
    </row>
    <row r="15" spans="2:4" ht="8.1" customHeight="1" x14ac:dyDescent="0.25">
      <c r="B15" s="28"/>
      <c r="C15" s="31"/>
      <c r="D15" s="30"/>
    </row>
    <row r="16" spans="2:4" x14ac:dyDescent="0.25">
      <c r="B16" s="28"/>
      <c r="C16" s="38" t="s">
        <v>46</v>
      </c>
      <c r="D16" s="30"/>
    </row>
    <row r="17" spans="2:4" x14ac:dyDescent="0.25">
      <c r="B17" s="28"/>
      <c r="C17" s="31" t="s">
        <v>47</v>
      </c>
      <c r="D17" s="30"/>
    </row>
    <row r="18" spans="2:4" ht="31.5" x14ac:dyDescent="0.25">
      <c r="B18" s="28"/>
      <c r="C18" s="39" t="s">
        <v>48</v>
      </c>
      <c r="D18" s="30"/>
    </row>
    <row r="19" spans="2:4" x14ac:dyDescent="0.25">
      <c r="B19" s="40"/>
      <c r="C19" s="41"/>
      <c r="D19" s="42"/>
    </row>
  </sheetData>
  <sheetProtection algorithmName="SHA-512" hashValue="U1MUYosrDk6jWKgorPftDyw9lPwarLx3Pl5LWgsR8kjkloOyZZrVP+jj7g19LtFcfHVUvG8J2i6pBmlLz+T8xw==" saltValue="XIXY6Gs/GWahWepdHDgxGA==" spinCount="100000" sheet="1" objects="1" scenarios="1"/>
  <hyperlinks>
    <hyperlink ref="C9" r:id="rId1" display="Get our VBA &amp; Macros Course" xr:uid="{07C1DE5F-A663-BC40-8ADA-6F202435521F}"/>
    <hyperlink ref="C11" location="Form!A1" display="Go to Form-&gt; here" xr:uid="{4083EBB3-7A47-7C42-9AC1-049B29F00D04}"/>
    <hyperlink ref="C14" r:id="rId2" display="Made by Kenji Explains" xr:uid="{AFC9E0F4-5617-1143-8811-97CA77F26A3C}"/>
    <hyperlink ref="C12" location="'Email Automation Code'!A1" display="Go to Email Code-&gt; here" xr:uid="{97660E0F-5C1F-A14F-9CD1-659D7A00043C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1FCAA-6B58-DE42-BE0D-DF5AC31224C8}">
  <sheetPr codeName="Sheet1"/>
  <dimension ref="B2:H27"/>
  <sheetViews>
    <sheetView showGridLines="0" tabSelected="1" topLeftCell="A2" zoomScale="125" workbookViewId="0">
      <selection activeCell="D6" sqref="D6"/>
    </sheetView>
  </sheetViews>
  <sheetFormatPr defaultColWidth="11" defaultRowHeight="15.75" x14ac:dyDescent="0.25"/>
  <cols>
    <col min="2" max="2" width="2.5" customWidth="1"/>
    <col min="3" max="3" width="15.375" customWidth="1"/>
    <col min="4" max="4" width="16.875" bestFit="1" customWidth="1"/>
    <col min="5" max="5" width="5.125" customWidth="1"/>
    <col min="8" max="8" width="4.375" customWidth="1"/>
  </cols>
  <sheetData>
    <row r="2" spans="2:8" x14ac:dyDescent="0.25">
      <c r="B2" s="7"/>
      <c r="C2" s="8"/>
      <c r="D2" s="8"/>
      <c r="E2" s="8"/>
      <c r="F2" s="8"/>
      <c r="G2" s="8"/>
      <c r="H2" s="9"/>
    </row>
    <row r="3" spans="2:8" ht="34.5" x14ac:dyDescent="0.55000000000000004">
      <c r="B3" s="17" t="s">
        <v>42</v>
      </c>
      <c r="C3" s="13"/>
      <c r="D3" s="11"/>
      <c r="E3" s="11"/>
      <c r="F3" s="11"/>
      <c r="G3" s="11"/>
      <c r="H3" s="12"/>
    </row>
    <row r="4" spans="2:8" x14ac:dyDescent="0.25">
      <c r="B4" s="10"/>
      <c r="C4" s="11"/>
      <c r="D4" s="11"/>
      <c r="E4" s="11"/>
      <c r="F4" s="11"/>
      <c r="G4" s="11"/>
      <c r="H4" s="12"/>
    </row>
    <row r="5" spans="2:8" x14ac:dyDescent="0.25">
      <c r="B5" s="1"/>
      <c r="C5" s="2"/>
      <c r="D5" s="2"/>
      <c r="E5" s="2"/>
      <c r="F5" s="2"/>
      <c r="G5" s="2"/>
      <c r="H5" s="3"/>
    </row>
    <row r="6" spans="2:8" x14ac:dyDescent="0.25">
      <c r="B6" s="1"/>
      <c r="C6" s="4" t="s">
        <v>27</v>
      </c>
      <c r="D6" s="50"/>
      <c r="E6" s="2"/>
      <c r="F6" s="4" t="s">
        <v>30</v>
      </c>
      <c r="G6" s="50"/>
      <c r="H6" s="3"/>
    </row>
    <row r="7" spans="2:8" x14ac:dyDescent="0.25">
      <c r="B7" s="1"/>
      <c r="C7" s="4"/>
      <c r="D7" s="20"/>
      <c r="E7" s="2"/>
      <c r="F7" s="4"/>
      <c r="G7" s="20"/>
      <c r="H7" s="3"/>
    </row>
    <row r="8" spans="2:8" x14ac:dyDescent="0.25">
      <c r="B8" s="1"/>
      <c r="C8" s="4" t="s">
        <v>28</v>
      </c>
      <c r="D8" s="50"/>
      <c r="E8" s="2"/>
      <c r="F8" s="4" t="s">
        <v>31</v>
      </c>
      <c r="G8" s="50"/>
      <c r="H8" s="3"/>
    </row>
    <row r="9" spans="2:8" x14ac:dyDescent="0.25">
      <c r="B9" s="1"/>
      <c r="C9" s="4"/>
      <c r="D9" s="20"/>
      <c r="E9" s="2"/>
      <c r="F9" s="4"/>
      <c r="G9" s="20"/>
      <c r="H9" s="3"/>
    </row>
    <row r="10" spans="2:8" x14ac:dyDescent="0.25">
      <c r="B10" s="1"/>
      <c r="C10" s="4" t="s">
        <v>29</v>
      </c>
      <c r="D10" s="51"/>
      <c r="E10" s="2"/>
      <c r="F10" s="4" t="s">
        <v>32</v>
      </c>
      <c r="G10" s="50"/>
      <c r="H10" s="3"/>
    </row>
    <row r="11" spans="2:8" x14ac:dyDescent="0.25">
      <c r="B11" s="1"/>
      <c r="C11" s="4"/>
      <c r="D11" s="20"/>
      <c r="E11" s="2"/>
      <c r="F11" s="4"/>
      <c r="G11" s="20"/>
      <c r="H11" s="3"/>
    </row>
    <row r="12" spans="2:8" x14ac:dyDescent="0.25">
      <c r="B12" s="1"/>
      <c r="C12" s="4" t="s">
        <v>40</v>
      </c>
      <c r="D12" s="52"/>
      <c r="E12" s="2"/>
      <c r="F12" s="4" t="s">
        <v>39</v>
      </c>
      <c r="G12" s="53"/>
      <c r="H12" s="3"/>
    </row>
    <row r="13" spans="2:8" x14ac:dyDescent="0.25">
      <c r="B13" s="1"/>
      <c r="C13" s="2"/>
      <c r="D13" s="2"/>
      <c r="E13" s="2"/>
      <c r="F13" s="2"/>
      <c r="G13" s="46" t="str">
        <f>IF(ISTEXT(G12),"*Please add a number, not text","")</f>
        <v/>
      </c>
      <c r="H13" s="3"/>
    </row>
    <row r="14" spans="2:8" x14ac:dyDescent="0.25">
      <c r="B14" s="1"/>
      <c r="C14" s="2"/>
      <c r="D14" s="2"/>
      <c r="E14" s="2"/>
      <c r="F14" s="2"/>
      <c r="G14" s="2"/>
      <c r="H14" s="3"/>
    </row>
    <row r="15" spans="2:8" x14ac:dyDescent="0.25">
      <c r="B15" s="1"/>
      <c r="C15" s="2"/>
      <c r="D15" s="2"/>
      <c r="E15" s="2"/>
      <c r="F15" s="2"/>
      <c r="G15" s="2"/>
      <c r="H15" s="3"/>
    </row>
    <row r="16" spans="2:8" x14ac:dyDescent="0.25">
      <c r="B16" s="1"/>
      <c r="C16" s="2"/>
      <c r="D16" s="2"/>
      <c r="E16" s="2"/>
      <c r="F16" s="2"/>
      <c r="G16" s="2"/>
      <c r="H16" s="3"/>
    </row>
    <row r="17" spans="2:8" ht="9.9499999999999993" customHeight="1" x14ac:dyDescent="0.25">
      <c r="B17" s="5"/>
      <c r="C17" s="45"/>
      <c r="D17" s="45"/>
      <c r="E17" s="45"/>
      <c r="F17" s="45"/>
      <c r="G17" s="45"/>
      <c r="H17" s="6"/>
    </row>
    <row r="20" spans="2:8" x14ac:dyDescent="0.25">
      <c r="C20" s="21" t="str">
        <f>C6</f>
        <v>First Name:</v>
      </c>
      <c r="D20" s="21">
        <f>D6</f>
        <v>0</v>
      </c>
    </row>
    <row r="21" spans="2:8" x14ac:dyDescent="0.25">
      <c r="C21" s="21" t="str">
        <f>C8</f>
        <v>Last Name:</v>
      </c>
      <c r="D21" s="21">
        <f>D8</f>
        <v>0</v>
      </c>
    </row>
    <row r="22" spans="2:8" x14ac:dyDescent="0.25">
      <c r="C22" s="21" t="str">
        <f>C10</f>
        <v>Email:</v>
      </c>
      <c r="D22" s="21">
        <f>D10</f>
        <v>0</v>
      </c>
    </row>
    <row r="23" spans="2:8" x14ac:dyDescent="0.25">
      <c r="C23" s="21" t="str">
        <f>C12</f>
        <v>DOB (DD-MM-YY):</v>
      </c>
      <c r="D23" s="48">
        <f>D12</f>
        <v>0</v>
      </c>
      <c r="E23" s="15"/>
    </row>
    <row r="24" spans="2:8" x14ac:dyDescent="0.25">
      <c r="C24" s="21" t="str">
        <f>F6</f>
        <v>Department:</v>
      </c>
      <c r="D24" s="21">
        <f>G6</f>
        <v>0</v>
      </c>
    </row>
    <row r="25" spans="2:8" x14ac:dyDescent="0.25">
      <c r="C25" s="21" t="str">
        <f>F8</f>
        <v>Role:</v>
      </c>
      <c r="D25" s="21">
        <f>G8</f>
        <v>0</v>
      </c>
    </row>
    <row r="26" spans="2:8" x14ac:dyDescent="0.25">
      <c r="C26" s="21" t="str">
        <f>F10</f>
        <v>Gender:</v>
      </c>
      <c r="D26" s="21">
        <f>G10</f>
        <v>0</v>
      </c>
    </row>
    <row r="27" spans="2:8" x14ac:dyDescent="0.25">
      <c r="C27" s="21" t="str">
        <f>F12</f>
        <v>Annual Salary:</v>
      </c>
      <c r="D27" s="49">
        <f>G12</f>
        <v>0</v>
      </c>
    </row>
  </sheetData>
  <sheetProtection algorithmName="SHA-512" hashValue="ezzibOYotDNdFkyZUyOlqxmPHpnVUWbl5KOoyCZkAzO6c+CUFSYUAkGEW81cotTe5S7xPcHtngvIoLGvfu/q0Q==" saltValue="0FLxFMiW7pTQDpB7Ps1sEQ==" spinCount="100000" sheet="1" objects="1" scenarios="1"/>
  <mergeCells count="1">
    <mergeCell ref="C17:G17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B54A77-0755-4C03-A6CB-585405C9CEB6}">
          <x14:formula1>
            <xm:f>Data!$B$2:$E$2</xm:f>
          </x14:formula1>
          <xm:sqref>G6</xm:sqref>
        </x14:dataValidation>
        <x14:dataValidation type="list" allowBlank="1" showInputMessage="1" showErrorMessage="1" xr:uid="{CDE2B018-DFBC-48F5-8065-E6607A7EB08E}">
          <x14:formula1>
            <xm:f>Data!$G$3:$G$5</xm:f>
          </x14:formula1>
          <xm:sqref>G10</xm:sqref>
        </x14:dataValidation>
        <x14:dataValidation type="list" allowBlank="1" showInputMessage="1" showErrorMessage="1" xr:uid="{3E2A3335-DA8D-4B3E-AFC8-75BCBA1D3461}">
          <x14:formula1>
            <xm:f>_xlfn.XLOOKUP(G6, Data!B2:E2,Data!B3:E7,"")</xm:f>
          </x14:formula1>
          <xm:sqref>G8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1EF64-9F5B-204F-92FA-F67B9D3AB679}">
  <sheetPr codeName="Sheet2"/>
  <dimension ref="B5:I12"/>
  <sheetViews>
    <sheetView showGridLines="0" zoomScale="150" workbookViewId="0">
      <selection activeCell="I6" sqref="I6"/>
    </sheetView>
  </sheetViews>
  <sheetFormatPr defaultColWidth="11" defaultRowHeight="15.75" x14ac:dyDescent="0.25"/>
  <cols>
    <col min="1" max="1" width="6" customWidth="1"/>
    <col min="2" max="2" width="11.5" customWidth="1"/>
    <col min="3" max="3" width="11.125" customWidth="1"/>
    <col min="5" max="5" width="12.375" customWidth="1"/>
  </cols>
  <sheetData>
    <row r="5" spans="2:9" x14ac:dyDescent="0.25">
      <c r="B5" s="47">
        <f>COUNTA(Table1[First Name])</f>
        <v>5</v>
      </c>
      <c r="C5" s="21"/>
      <c r="D5" s="22">
        <f>AVERAGE(Table1[Annual Salary])</f>
        <v>77500</v>
      </c>
      <c r="E5" s="23">
        <f ca="1">DATEDIF(AVERAGE(Table1[DOB]),TODAY(),"Y")</f>
        <v>32</v>
      </c>
      <c r="F5" s="21"/>
      <c r="G5" s="21">
        <f>COUNTIF(Table1[Gender],"Female")</f>
        <v>2</v>
      </c>
      <c r="H5" s="21"/>
      <c r="I5" s="21">
        <f>COUNTIF(Table1[Role],"Intern")</f>
        <v>1</v>
      </c>
    </row>
    <row r="6" spans="2:9" ht="12" customHeight="1" x14ac:dyDescent="0.25"/>
    <row r="7" spans="2:9" x14ac:dyDescent="0.25">
      <c r="B7" s="14" t="s">
        <v>0</v>
      </c>
      <c r="C7" s="14" t="s">
        <v>1</v>
      </c>
      <c r="D7" s="14" t="s">
        <v>3</v>
      </c>
      <c r="E7" s="19" t="s">
        <v>2</v>
      </c>
      <c r="F7" s="19" t="s">
        <v>4</v>
      </c>
      <c r="G7" s="19" t="s">
        <v>5</v>
      </c>
      <c r="H7" s="19" t="s">
        <v>6</v>
      </c>
      <c r="I7" s="19" t="s">
        <v>41</v>
      </c>
    </row>
    <row r="8" spans="2:9" x14ac:dyDescent="0.25">
      <c r="B8" t="s">
        <v>59</v>
      </c>
      <c r="C8" t="s">
        <v>60</v>
      </c>
      <c r="D8" t="s">
        <v>62</v>
      </c>
      <c r="E8" s="15">
        <v>37237</v>
      </c>
      <c r="F8" t="s">
        <v>12</v>
      </c>
      <c r="G8" s="24" t="s">
        <v>23</v>
      </c>
      <c r="H8" t="s">
        <v>34</v>
      </c>
      <c r="I8">
        <v>50000</v>
      </c>
    </row>
    <row r="9" spans="2:9" x14ac:dyDescent="0.25">
      <c r="B9" t="s">
        <v>56</v>
      </c>
      <c r="C9" t="s">
        <v>57</v>
      </c>
      <c r="D9" t="s">
        <v>61</v>
      </c>
      <c r="E9" s="15" t="s">
        <v>58</v>
      </c>
      <c r="F9" t="s">
        <v>13</v>
      </c>
      <c r="G9" s="24" t="s">
        <v>18</v>
      </c>
      <c r="H9" t="s">
        <v>33</v>
      </c>
      <c r="I9">
        <v>180000</v>
      </c>
    </row>
    <row r="10" spans="2:9" x14ac:dyDescent="0.25">
      <c r="B10" t="s">
        <v>52</v>
      </c>
      <c r="C10" t="s">
        <v>53</v>
      </c>
      <c r="D10" t="s">
        <v>54</v>
      </c>
      <c r="E10" s="15" t="s">
        <v>55</v>
      </c>
      <c r="F10" t="s">
        <v>11</v>
      </c>
      <c r="G10" s="24" t="s">
        <v>20</v>
      </c>
      <c r="H10" t="s">
        <v>33</v>
      </c>
      <c r="I10">
        <v>120000</v>
      </c>
    </row>
    <row r="11" spans="2:9" x14ac:dyDescent="0.25">
      <c r="B11" t="s">
        <v>7</v>
      </c>
      <c r="C11" t="s">
        <v>8</v>
      </c>
      <c r="D11" t="s">
        <v>9</v>
      </c>
      <c r="E11" s="15">
        <v>33166</v>
      </c>
      <c r="F11" t="s">
        <v>11</v>
      </c>
      <c r="G11" t="s">
        <v>25</v>
      </c>
      <c r="H11" t="s">
        <v>33</v>
      </c>
      <c r="I11" s="16">
        <v>25000</v>
      </c>
    </row>
    <row r="12" spans="2:9" x14ac:dyDescent="0.25">
      <c r="B12" t="s">
        <v>36</v>
      </c>
      <c r="C12" t="s">
        <v>37</v>
      </c>
      <c r="D12" t="s">
        <v>38</v>
      </c>
      <c r="E12" s="15">
        <v>30906</v>
      </c>
      <c r="F12" t="s">
        <v>12</v>
      </c>
      <c r="G12" t="s">
        <v>19</v>
      </c>
      <c r="H12" t="s">
        <v>34</v>
      </c>
      <c r="I12" s="16">
        <v>12500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BA7D0-27F8-AC42-8647-DB8E1B4F3200}">
  <sheetPr codeName="Sheet3"/>
  <dimension ref="B2:I10"/>
  <sheetViews>
    <sheetView zoomScale="125" workbookViewId="0">
      <selection activeCell="B10" sqref="B10:I10"/>
    </sheetView>
  </sheetViews>
  <sheetFormatPr defaultColWidth="11" defaultRowHeight="15.75" x14ac:dyDescent="0.25"/>
  <cols>
    <col min="6" max="6" width="6.375" customWidth="1"/>
    <col min="7" max="7" width="10.875" style="18"/>
  </cols>
  <sheetData>
    <row r="2" spans="2:9" x14ac:dyDescent="0.25">
      <c r="B2" s="14" t="s">
        <v>10</v>
      </c>
      <c r="C2" s="14" t="s">
        <v>11</v>
      </c>
      <c r="D2" s="14" t="s">
        <v>12</v>
      </c>
      <c r="E2" s="14" t="s">
        <v>13</v>
      </c>
      <c r="G2" s="14" t="s">
        <v>6</v>
      </c>
    </row>
    <row r="3" spans="2:9" x14ac:dyDescent="0.25">
      <c r="B3" t="s">
        <v>19</v>
      </c>
      <c r="C3" t="s">
        <v>26</v>
      </c>
      <c r="D3" t="s">
        <v>26</v>
      </c>
      <c r="E3" s="18" t="s">
        <v>14</v>
      </c>
      <c r="G3" s="18" t="s">
        <v>33</v>
      </c>
    </row>
    <row r="4" spans="2:9" x14ac:dyDescent="0.25">
      <c r="B4" t="s">
        <v>20</v>
      </c>
      <c r="C4" t="s">
        <v>19</v>
      </c>
      <c r="D4" t="s">
        <v>19</v>
      </c>
      <c r="E4" s="18" t="s">
        <v>15</v>
      </c>
      <c r="G4" s="18" t="s">
        <v>34</v>
      </c>
    </row>
    <row r="5" spans="2:9" x14ac:dyDescent="0.25">
      <c r="B5" t="s">
        <v>21</v>
      </c>
      <c r="C5" t="s">
        <v>20</v>
      </c>
      <c r="D5" t="s">
        <v>21</v>
      </c>
      <c r="E5" s="18" t="s">
        <v>16</v>
      </c>
      <c r="G5" s="18" t="s">
        <v>35</v>
      </c>
    </row>
    <row r="6" spans="2:9" x14ac:dyDescent="0.25">
      <c r="B6" t="s">
        <v>22</v>
      </c>
      <c r="C6" t="s">
        <v>24</v>
      </c>
      <c r="D6" t="s">
        <v>22</v>
      </c>
      <c r="E6" s="18" t="s">
        <v>17</v>
      </c>
    </row>
    <row r="7" spans="2:9" x14ac:dyDescent="0.25">
      <c r="B7" t="s">
        <v>23</v>
      </c>
      <c r="C7" t="s">
        <v>25</v>
      </c>
      <c r="D7" t="s">
        <v>23</v>
      </c>
      <c r="E7" s="18" t="s">
        <v>18</v>
      </c>
    </row>
    <row r="10" spans="2:9" x14ac:dyDescent="0.25">
      <c r="B10" t="s">
        <v>59</v>
      </c>
      <c r="C10" t="s">
        <v>60</v>
      </c>
      <c r="D10" t="s">
        <v>62</v>
      </c>
      <c r="E10" s="15">
        <v>37237</v>
      </c>
      <c r="F10" t="s">
        <v>12</v>
      </c>
      <c r="G10" s="24" t="s">
        <v>23</v>
      </c>
      <c r="H10" t="s">
        <v>34</v>
      </c>
      <c r="I10">
        <v>50000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01DC-A077-3A45-BEBE-BD8A6096501E}">
  <sheetPr codeName="Sheet5"/>
  <dimension ref="A1"/>
  <sheetViews>
    <sheetView workbookViewId="0">
      <selection activeCell="M25" sqref="M25"/>
    </sheetView>
  </sheetViews>
  <sheetFormatPr defaultColWidth="11" defaultRowHeight="15.7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 Page</vt:lpstr>
      <vt:lpstr>Form</vt:lpstr>
      <vt:lpstr>Dashboard</vt:lpstr>
      <vt:lpstr>Data</vt:lpstr>
      <vt:lpstr>Email Automation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kenji farre</dc:creator>
  <cp:lastModifiedBy>Andrew Millington</cp:lastModifiedBy>
  <dcterms:created xsi:type="dcterms:W3CDTF">2025-02-05T07:38:44Z</dcterms:created>
  <dcterms:modified xsi:type="dcterms:W3CDTF">2025-02-17T21:57:19Z</dcterms:modified>
</cp:coreProperties>
</file>